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 Valuation" sheetId="1" state="visible" r:id="rId1"/>
    <sheet xmlns:r="http://schemas.openxmlformats.org/officeDocument/2006/relationships" name="Unit Econom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name val="Arial"/>
      <b val="1"/>
      <color rgb="00C8A25C"/>
      <sz val="11"/>
    </font>
    <font>
      <b val="1"/>
      <color rgb="0000AA00"/>
      <sz val="14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9" fontId="0" fillId="0" borderId="0" pivotButton="0" quotePrefix="0" xfId="0"/>
    <xf numFmtId="164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Metric</t>
        </is>
      </c>
      <c r="B1" s="1" t="inlineStr">
        <is>
          <t>Year 1</t>
        </is>
      </c>
      <c r="C1" s="1" t="inlineStr">
        <is>
          <t>Year 2</t>
        </is>
      </c>
      <c r="D1" s="1" t="inlineStr">
        <is>
          <t>Year 3</t>
        </is>
      </c>
      <c r="E1" s="1" t="inlineStr">
        <is>
          <t>Year 4</t>
        </is>
      </c>
      <c r="F1" s="1" t="inlineStr">
        <is>
          <t>Year 5</t>
        </is>
      </c>
    </row>
    <row r="2">
      <c r="A2" t="inlineStr">
        <is>
          <t>Revenue</t>
        </is>
      </c>
      <c r="B2" s="2" t="n">
        <v>500000</v>
      </c>
      <c r="C2" s="2" t="n">
        <v>1200000</v>
      </c>
      <c r="D2" s="2" t="n">
        <v>3000000</v>
      </c>
      <c r="E2" s="2" t="n">
        <v>7000000</v>
      </c>
      <c r="F2" s="2" t="n">
        <v>15000000</v>
      </c>
    </row>
    <row r="3">
      <c r="A3" t="inlineStr">
        <is>
          <t>Growth Rate</t>
        </is>
      </c>
      <c r="B3" t="inlineStr"/>
      <c r="C3" s="3" t="inlineStr">
        <is>
          <t>140%</t>
        </is>
      </c>
      <c r="D3" s="3" t="inlineStr">
        <is>
          <t>150%</t>
        </is>
      </c>
      <c r="E3" s="3" t="inlineStr">
        <is>
          <t>133%</t>
        </is>
      </c>
      <c r="F3" s="3" t="inlineStr">
        <is>
          <t>114%</t>
        </is>
      </c>
    </row>
    <row r="4">
      <c r="A4" t="inlineStr">
        <is>
          <t>EBITDA Margin</t>
        </is>
      </c>
      <c r="B4" s="3" t="inlineStr">
        <is>
          <t>10%</t>
        </is>
      </c>
      <c r="C4" s="3" t="inlineStr">
        <is>
          <t>15%</t>
        </is>
      </c>
      <c r="D4" s="3" t="inlineStr">
        <is>
          <t>22%</t>
        </is>
      </c>
      <c r="E4" s="3" t="inlineStr">
        <is>
          <t>30%</t>
        </is>
      </c>
      <c r="F4" s="3" t="inlineStr">
        <is>
          <t>35%</t>
        </is>
      </c>
    </row>
    <row r="5">
      <c r="A5" t="inlineStr">
        <is>
          <t>EBITDA</t>
        </is>
      </c>
      <c r="B5" s="2" t="n">
        <v>50000</v>
      </c>
      <c r="C5" s="2" t="n">
        <v>180000</v>
      </c>
      <c r="D5" s="2" t="n">
        <v>660000</v>
      </c>
      <c r="E5" s="2" t="n">
        <v>2100000</v>
      </c>
      <c r="F5" s="2" t="n">
        <v>5250000</v>
      </c>
    </row>
    <row r="6">
      <c r="A6" t="inlineStr">
        <is>
          <t>CapEx</t>
        </is>
      </c>
      <c r="B6" t="n">
        <v>-25000</v>
      </c>
      <c r="C6" t="n">
        <v>-60000</v>
      </c>
      <c r="D6" t="n">
        <v>-150000</v>
      </c>
      <c r="E6" t="n">
        <v>-350000</v>
      </c>
      <c r="F6" t="n">
        <v>-750000</v>
      </c>
    </row>
    <row r="7">
      <c r="A7" t="inlineStr">
        <is>
          <t>Free Cash Flow</t>
        </is>
      </c>
      <c r="B7" s="2" t="n">
        <v>25000</v>
      </c>
      <c r="C7" s="2" t="n">
        <v>120000</v>
      </c>
      <c r="D7" s="2" t="n">
        <v>510000</v>
      </c>
      <c r="E7" s="2" t="n">
        <v>1750000</v>
      </c>
      <c r="F7" s="2" t="n">
        <v>4500000</v>
      </c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Discount Rate</t>
        </is>
      </c>
      <c r="B9" s="3" t="inlineStr">
        <is>
          <t>12%</t>
        </is>
      </c>
      <c r="C9" t="inlineStr"/>
      <c r="D9" t="inlineStr"/>
      <c r="E9" t="inlineStr"/>
      <c r="F9" t="inlineStr"/>
    </row>
    <row r="10">
      <c r="A10" t="inlineStr">
        <is>
          <t>Terminal Growth</t>
        </is>
      </c>
      <c r="B10" s="3" t="inlineStr">
        <is>
          <t>3%</t>
        </is>
      </c>
      <c r="C10" t="inlineStr"/>
      <c r="D10" t="inlineStr"/>
      <c r="E10" t="inlineStr"/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>
        <is>
          <t>PV of FCF</t>
        </is>
      </c>
      <c r="B12" s="2" t="n">
        <v>22321</v>
      </c>
      <c r="C12" s="2" t="n">
        <v>95663</v>
      </c>
      <c r="D12" s="2" t="n">
        <v>363020</v>
      </c>
      <c r="E12" s="2" t="n">
        <v>1112221</v>
      </c>
      <c r="F12" s="2" t="n">
        <v>2553553</v>
      </c>
    </row>
    <row r="13">
      <c r="A13" t="inlineStr">
        <is>
          <t>Sum of PV FCFs</t>
        </is>
      </c>
      <c r="B13" s="2" t="n">
        <v>4146778</v>
      </c>
      <c r="C13" t="inlineStr"/>
      <c r="D13" t="inlineStr"/>
      <c r="E13" t="inlineStr"/>
      <c r="F13" t="inlineStr"/>
    </row>
    <row r="14">
      <c r="A14" t="inlineStr">
        <is>
          <t>Terminal Value</t>
        </is>
      </c>
      <c r="B14" s="2" t="n">
        <v>51545455</v>
      </c>
      <c r="C14" t="inlineStr"/>
      <c r="D14" t="inlineStr"/>
      <c r="E14" t="inlineStr"/>
      <c r="F14" t="inlineStr"/>
    </row>
    <row r="15">
      <c r="A15" t="inlineStr">
        <is>
          <t>PV of Terminal</t>
        </is>
      </c>
      <c r="B15" s="2" t="n">
        <v>29249432</v>
      </c>
      <c r="C15" t="inlineStr"/>
      <c r="D15" t="inlineStr"/>
      <c r="E15" t="inlineStr"/>
      <c r="F15" t="inlineStr"/>
    </row>
    <row r="16">
      <c r="A16" t="inlineStr">
        <is>
          <t>Enterprise Value</t>
        </is>
      </c>
      <c r="B16" s="4" t="n">
        <v>33396210</v>
      </c>
      <c r="C16" t="inlineStr"/>
      <c r="D16" t="inlineStr"/>
      <c r="E16" t="inlineStr"/>
      <c r="F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5" t="inlineStr">
        <is>
          <t>Metric</t>
        </is>
      </c>
      <c r="B1" s="5" t="inlineStr">
        <is>
          <t>Value</t>
        </is>
      </c>
      <c r="C1" s="5" t="inlineStr">
        <is>
          <t>Benchmark</t>
        </is>
      </c>
    </row>
    <row r="2">
      <c r="A2" t="inlineStr">
        <is>
          <t>CAC</t>
        </is>
      </c>
      <c r="B2" t="n">
        <v>250</v>
      </c>
      <c r="C2" t="n">
        <v>400</v>
      </c>
    </row>
    <row r="3">
      <c r="A3" t="inlineStr">
        <is>
          <t>LTV</t>
        </is>
      </c>
      <c r="B3" t="n">
        <v>3500</v>
      </c>
      <c r="C3" t="n">
        <v>2000</v>
      </c>
    </row>
    <row r="4">
      <c r="A4" t="inlineStr">
        <is>
          <t>LTV:CAC Ratio</t>
        </is>
      </c>
      <c r="B4">
        <f>B3/B2</f>
        <v/>
      </c>
      <c r="C4">
        <f>C3/C2</f>
        <v/>
      </c>
    </row>
    <row r="5">
      <c r="A5" t="inlineStr">
        <is>
          <t>Payback Period (months)</t>
        </is>
      </c>
      <c r="B5" t="n">
        <v>4.2</v>
      </c>
      <c r="C5" t="n">
        <v>8</v>
      </c>
    </row>
    <row r="6">
      <c r="A6" t="inlineStr">
        <is>
          <t>Gross Margin</t>
        </is>
      </c>
      <c r="B6" t="inlineStr">
        <is>
          <t>78%</t>
        </is>
      </c>
      <c r="C6" t="inlineStr">
        <is>
          <t>65%</t>
        </is>
      </c>
    </row>
    <row r="7">
      <c r="A7" t="inlineStr">
        <is>
          <t>Net Revenue Retention</t>
        </is>
      </c>
      <c r="B7" t="inlineStr">
        <is>
          <t>142%</t>
        </is>
      </c>
      <c r="C7" t="inlineStr">
        <is>
          <t>110%</t>
        </is>
      </c>
    </row>
    <row r="8">
      <c r="A8" t="inlineStr">
        <is>
          <t>Monthly Churn</t>
        </is>
      </c>
      <c r="B8" t="inlineStr">
        <is>
          <t>2.1%</t>
        </is>
      </c>
      <c r="C8" t="inlineStr">
        <is>
          <t>5.4%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2026-04-14T21:06:59Z</dcterms:created>
  <dcterms:modified xmlns:dcterms="http://purl.org/dc/terms/" xmlns:xsi="http://www.w3.org/2001/XMLSchema-instance" xsi:type="dcterms:W3CDTF">2026-04-14T21:06:59Z</dcterms:modified>
</cp:coreProperties>
</file>